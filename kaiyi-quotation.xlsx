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报价明细" sheetId="2" state="visible" r:id="rId2"/>
    <sheet name="月度计划" sheetId="3" state="visible" r:id="rId3"/>
    <sheet name="服务条款" sheetId="4" state="visible" r:id="rId4"/>
    <sheet name="联系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;(&quot;¥&quot;#,##0);-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i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164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right" vertical="center" indent="1"/>
    </xf>
    <xf numFmtId="164" fontId="5" fillId="6" borderId="1" applyAlignment="1" pivotButton="0" quotePrefix="0" xfId="0">
      <alignment horizontal="right" vertical="center"/>
    </xf>
    <xf numFmtId="0" fontId="4" fillId="2" borderId="2" applyAlignment="1" pivotButton="0" quotePrefix="0" xfId="0">
      <alignment horizontal="right" vertical="center" indent="1"/>
    </xf>
    <xf numFmtId="0" fontId="0" fillId="0" borderId="2" pivotButton="0" quotePrefix="0" xfId="0"/>
    <xf numFmtId="164" fontId="4" fillId="2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4" customHeight="1"/>
    <row r="2" ht="30" customHeight="1">
      <c r="B2" s="1" t="inlineStr">
        <is>
          <t>KAIYI · 开瑞汽车</t>
        </is>
      </c>
    </row>
    <row r="3" ht="50" customHeight="1">
      <c r="B3" s="2" t="inlineStr">
        <is>
          <t>海外营销 H5 项目年度报价单</t>
        </is>
      </c>
    </row>
    <row r="4" ht="28" customHeight="1">
      <c r="B4" s="3" t="inlineStr">
        <is>
          <t>QUOTATION  /  2026–2027</t>
        </is>
      </c>
    </row>
    <row r="5" ht="20" customHeight="1"/>
    <row r="7" ht="28" customHeight="1">
      <c r="B7" s="4" t="inlineStr">
        <is>
          <t>项 目 概 述</t>
        </is>
      </c>
    </row>
    <row r="8" ht="24" customHeight="1">
      <c r="B8" s="5" t="inlineStr">
        <is>
          <t>项目名称</t>
        </is>
      </c>
      <c r="C8" s="6" t="inlineStr">
        <is>
          <t>KAIYI · Share Your Destination 海外品牌营销 H5</t>
        </is>
      </c>
      <c r="D8" s="7" t="n"/>
      <c r="E8" s="7" t="n"/>
      <c r="F8" s="7" t="n"/>
      <c r="G8" s="7" t="n"/>
      <c r="H8" s="7" t="n"/>
    </row>
    <row r="9" ht="24" customHeight="1">
      <c r="B9" s="5" t="inlineStr">
        <is>
          <t>客户单位</t>
        </is>
      </c>
      <c r="C9" s="6" t="inlineStr">
        <is>
          <t>KAIYI 开瑞汽车（海外事业部）</t>
        </is>
      </c>
      <c r="D9" s="7" t="n"/>
      <c r="E9" s="7" t="n"/>
      <c r="F9" s="7" t="n"/>
      <c r="G9" s="7" t="n"/>
      <c r="H9" s="7" t="n"/>
    </row>
    <row r="10" ht="24" customHeight="1">
      <c r="B10" s="5" t="inlineStr">
        <is>
          <t>项目周期</t>
        </is>
      </c>
      <c r="C10" s="6" t="inlineStr">
        <is>
          <t>2026 年 9 月 — 2027 年 8 月（12 个月）</t>
        </is>
      </c>
      <c r="D10" s="7" t="n"/>
      <c r="E10" s="7" t="n"/>
      <c r="F10" s="7" t="n"/>
      <c r="G10" s="7" t="n"/>
      <c r="H10" s="7" t="n"/>
    </row>
    <row r="11" ht="24" customHeight="1">
      <c r="B11" s="5" t="inlineStr">
        <is>
          <t>交付形态</t>
        </is>
      </c>
      <c r="C11" s="6" t="inlineStr">
        <is>
          <t>移动端 H5（Vite + React）+ PC 桌面端响应式适配</t>
        </is>
      </c>
      <c r="D11" s="7" t="n"/>
      <c r="E11" s="7" t="n"/>
      <c r="F11" s="7" t="n"/>
      <c r="G11" s="7" t="n"/>
      <c r="H11" s="7" t="n"/>
    </row>
    <row r="12" ht="24" customHeight="1">
      <c r="B12" s="5" t="inlineStr">
        <is>
          <t>适配设备</t>
        </is>
      </c>
      <c r="C12" s="6" t="inlineStr">
        <is>
          <t>PC 桌面浏览器（≥ 1024px）+ 移动端（≤ 768px）双端自适应</t>
        </is>
      </c>
      <c r="D12" s="7" t="n"/>
      <c r="E12" s="7" t="n"/>
      <c r="F12" s="7" t="n"/>
      <c r="G12" s="7" t="n"/>
      <c r="H12" s="7" t="n"/>
    </row>
    <row r="13" ht="24" customHeight="1">
      <c r="B13" s="5" t="inlineStr">
        <is>
          <t>分享渠道</t>
        </is>
      </c>
      <c r="C13" s="6" t="inlineStr">
        <is>
          <t>Facebook · Instagram（系统分享面板带图分享）</t>
        </is>
      </c>
      <c r="D13" s="7" t="n"/>
      <c r="E13" s="7" t="n"/>
      <c r="F13" s="7" t="n"/>
      <c r="G13" s="7" t="n"/>
      <c r="H13" s="7" t="n"/>
    </row>
    <row r="14" ht="24" customHeight="1">
      <c r="B14" s="5" t="inlineStr">
        <is>
          <t>核心能力</t>
        </is>
      </c>
      <c r="C14" s="6" t="inlineStr">
        <is>
          <t>12 个月度主题自动切换 · 3 款相框模板 · 图片生成 · 一键分享</t>
        </is>
      </c>
      <c r="D14" s="7" t="n"/>
      <c r="E14" s="7" t="n"/>
      <c r="F14" s="7" t="n"/>
      <c r="G14" s="7" t="n"/>
      <c r="H14" s="7" t="n"/>
    </row>
    <row r="15" ht="24" customHeight="1">
      <c r="B15" s="5" t="inlineStr">
        <is>
          <t>维护模式</t>
        </is>
      </c>
      <c r="C15" s="6" t="inlineStr">
        <is>
          <t>每月 1 套新模板（设计 + 开发 + 上线）</t>
        </is>
      </c>
      <c r="D15" s="7" t="n"/>
      <c r="E15" s="7" t="n"/>
      <c r="F15" s="7" t="n"/>
      <c r="G15" s="7" t="n"/>
      <c r="H15" s="7" t="n"/>
    </row>
    <row r="16" ht="24" customHeight="1">
      <c r="B16" s="5" t="inlineStr">
        <is>
          <t>文档版本</t>
        </is>
      </c>
      <c r="C16" s="6" t="inlineStr">
        <is>
          <t>V1.1  /  2026-09-08  /  人民币报价 · 含 PC + 移动端</t>
        </is>
      </c>
      <c r="D16" s="7" t="n"/>
      <c r="E16" s="7" t="n"/>
      <c r="F16" s="7" t="n"/>
      <c r="G16" s="7" t="n"/>
      <c r="H16" s="7" t="n"/>
    </row>
    <row r="18" ht="28" customHeight="1">
      <c r="B18" s="4" t="inlineStr">
        <is>
          <t>报 价 汇 总</t>
        </is>
      </c>
    </row>
    <row r="19" ht="24" customHeight="1">
      <c r="B19" s="8" t="inlineStr">
        <is>
          <t>A. 一次性设计费</t>
        </is>
      </c>
      <c r="C19" s="7" t="n"/>
      <c r="D19" s="7" t="n"/>
      <c r="E19" s="7" t="n"/>
      <c r="F19" s="9">
        <f>报价明细!E5</f>
        <v/>
      </c>
      <c r="G19" s="7" t="n"/>
      <c r="H19" s="7" t="n"/>
    </row>
    <row r="20" ht="24" customHeight="1">
      <c r="B20" s="8" t="inlineStr">
        <is>
          <t>B. 一次性开发费</t>
        </is>
      </c>
      <c r="C20" s="7" t="n"/>
      <c r="D20" s="7" t="n"/>
      <c r="E20" s="7" t="n"/>
      <c r="F20" s="9">
        <f>报价明细!E13</f>
        <v/>
      </c>
      <c r="G20" s="7" t="n"/>
      <c r="H20" s="7" t="n"/>
    </row>
    <row r="21" ht="24" customHeight="1">
      <c r="B21" s="8" t="inlineStr">
        <is>
          <t>C. 项目管理 / 客户确认</t>
        </is>
      </c>
      <c r="C21" s="7" t="n"/>
      <c r="D21" s="7" t="n"/>
      <c r="E21" s="7" t="n"/>
      <c r="F21" s="9">
        <f>报价明细!E18</f>
        <v/>
      </c>
      <c r="G21" s="7" t="n"/>
      <c r="H21" s="7" t="n"/>
    </row>
    <row r="22" ht="24" customHeight="1">
      <c r="B22" s="8" t="inlineStr">
        <is>
          <t>D. 月度维护费（12 个月）</t>
        </is>
      </c>
      <c r="C22" s="7" t="n"/>
      <c r="D22" s="7" t="n"/>
      <c r="E22" s="7" t="n"/>
      <c r="F22" s="9">
        <f>报价明细!H6</f>
        <v/>
      </c>
      <c r="G22" s="7" t="n"/>
      <c r="H22" s="7" t="n"/>
    </row>
    <row r="23" ht="24" customHeight="1">
      <c r="B23" s="8" t="inlineStr">
        <is>
          <t>E. 托管 / 空间 / 域名（年度）</t>
        </is>
      </c>
      <c r="C23" s="7" t="n"/>
      <c r="D23" s="7" t="n"/>
      <c r="E23" s="7" t="n"/>
      <c r="F23" s="9">
        <f>报价明细!H11</f>
        <v/>
      </c>
      <c r="G23" s="7" t="n"/>
      <c r="H23" s="7" t="n"/>
    </row>
    <row r="24" ht="24" customHeight="1">
      <c r="B24" s="8" t="inlineStr">
        <is>
          <t>F. 运营服务费（年度）</t>
        </is>
      </c>
      <c r="C24" s="7" t="n"/>
      <c r="D24" s="7" t="n"/>
      <c r="E24" s="7" t="n"/>
      <c r="F24" s="9">
        <f>报价明细!H15</f>
        <v/>
      </c>
      <c r="G24" s="7" t="n"/>
      <c r="H24" s="7" t="n"/>
    </row>
    <row r="25" ht="24" customHeight="1">
      <c r="B25" s="8" t="inlineStr">
        <is>
          <t>G. 增值税（6%）</t>
        </is>
      </c>
      <c r="C25" s="7" t="n"/>
      <c r="D25" s="7" t="n"/>
      <c r="E25" s="7" t="n"/>
      <c r="F25" s="9">
        <f>报价明细!H19</f>
        <v/>
      </c>
      <c r="G25" s="7" t="n"/>
      <c r="H25" s="7" t="n"/>
    </row>
    <row r="26" ht="24" customHeight="1">
      <c r="B26" s="10" t="inlineStr">
        <is>
          <t>合计（含税）</t>
        </is>
      </c>
      <c r="C26" s="11" t="n"/>
      <c r="D26" s="11" t="n"/>
      <c r="E26" s="11" t="n"/>
      <c r="F26" s="12">
        <f>报价明细!H22</f>
        <v/>
      </c>
      <c r="G26" s="11" t="n"/>
      <c r="H26" s="11" t="n"/>
    </row>
    <row r="27">
      <c r="F27" s="13">
        <f>报价明细!H25</f>
        <v/>
      </c>
    </row>
    <row r="28">
      <c r="B28" s="14" t="inlineStr">
        <is>
          <t>报价有效期：自本报价单签发之日起 30 个自然日    /    报价单位：人民币元（CNY）    /    含 6% 增值税</t>
        </is>
      </c>
    </row>
  </sheetData>
  <mergeCells count="31">
    <mergeCell ref="F20:H20"/>
    <mergeCell ref="C10:H10"/>
    <mergeCell ref="C16:H16"/>
    <mergeCell ref="C9:H9"/>
    <mergeCell ref="F26:H26"/>
    <mergeCell ref="B24:E24"/>
    <mergeCell ref="B20:E20"/>
    <mergeCell ref="C12:H12"/>
    <mergeCell ref="F23:H23"/>
    <mergeCell ref="C11:H11"/>
    <mergeCell ref="B26:E26"/>
    <mergeCell ref="F22:H22"/>
    <mergeCell ref="B4:H4"/>
    <mergeCell ref="C8:H8"/>
    <mergeCell ref="B25:E25"/>
    <mergeCell ref="B7:H7"/>
    <mergeCell ref="B3:H3"/>
    <mergeCell ref="B22:E22"/>
    <mergeCell ref="B18:H18"/>
    <mergeCell ref="C13:H13"/>
    <mergeCell ref="B21:E21"/>
    <mergeCell ref="B2:H2"/>
    <mergeCell ref="C15:H15"/>
    <mergeCell ref="F25:H25"/>
    <mergeCell ref="B23:E23"/>
    <mergeCell ref="B28:H28"/>
    <mergeCell ref="F19:H19"/>
    <mergeCell ref="C14:H14"/>
    <mergeCell ref="B19:E19"/>
    <mergeCell ref="F21:H21"/>
    <mergeCell ref="F24:H24"/>
  </mergeCells>
  <printOptions horizontalCentered="1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8" customWidth="1" min="4" max="4"/>
    <col width="16" customWidth="1" min="5" max="5"/>
    <col width="38" customWidth="1" min="6" max="6"/>
    <col width="14" customWidth="1" min="7" max="7"/>
    <col width="18" customWidth="1" min="8" max="8"/>
  </cols>
  <sheetData>
    <row r="1" ht="32" customHeight="1">
      <c r="A1" s="15" t="inlineStr">
        <is>
          <t>序号</t>
        </is>
      </c>
      <c r="B1" s="15" t="inlineStr">
        <is>
          <t>项目名称</t>
        </is>
      </c>
      <c r="C1" s="15" t="inlineStr">
        <is>
          <t>工作内容 / 交付物</t>
        </is>
      </c>
      <c r="D1" s="15" t="inlineStr">
        <is>
          <t>数量</t>
        </is>
      </c>
      <c r="E1" s="15" t="inlineStr">
        <is>
          <t>单价 (¥)</t>
        </is>
      </c>
      <c r="F1" s="15" t="inlineStr">
        <is>
          <t>说明 / 工艺要点</t>
        </is>
      </c>
      <c r="G1" s="15" t="inlineStr">
        <is>
          <t>计量</t>
        </is>
      </c>
      <c r="H1" s="15" t="inlineStr">
        <is>
          <t>小计 (¥)</t>
        </is>
      </c>
    </row>
    <row r="2" ht="22" customHeight="1">
      <c r="A2" s="16" t="inlineStr">
        <is>
          <t>A. 一次性设计费（Design）</t>
        </is>
      </c>
      <c r="B2" s="7" t="n"/>
      <c r="C2" s="7" t="n"/>
      <c r="D2" s="7" t="n"/>
      <c r="E2" s="7" t="n"/>
      <c r="F2" s="7" t="n"/>
      <c r="G2" s="7" t="n"/>
      <c r="H2" s="7" t="n"/>
    </row>
    <row r="3" ht="36" customHeight="1">
      <c r="A3" s="17" t="n">
        <v>1</v>
      </c>
      <c r="B3" s="6" t="inlineStr">
        <is>
          <t>主题视觉系统设计</t>
        </is>
      </c>
      <c r="C3" s="6" t="inlineStr">
        <is>
          <t>12 个月主题色板、字体、版式风格指南（Design Guideline）</t>
        </is>
      </c>
      <c r="D3" s="17" t="n">
        <v>1</v>
      </c>
      <c r="E3" s="18" t="n">
        <v>30000</v>
      </c>
      <c r="F3" s="6" t="inlineStr">
        <is>
          <t>逐月差异化，确保全年品牌调性一致</t>
        </is>
      </c>
      <c r="G3" s="17" t="inlineStr">
        <is>
          <t>套</t>
        </is>
      </c>
      <c r="H3" s="9">
        <f>D3*E3</f>
        <v/>
      </c>
    </row>
    <row r="4" ht="36" customHeight="1">
      <c r="A4" s="17" t="n">
        <v>2</v>
      </c>
      <c r="B4" s="6" t="inlineStr">
        <is>
          <t>相框模板设计</t>
        </is>
      </c>
      <c r="C4" s="6" t="inlineStr">
        <is>
          <t>3 款相框 × 12 个月 = 36 款原创版式（路线打卡 / 旅行明信片 / 车窗视角）</t>
        </is>
      </c>
      <c r="D4" s="17" t="n">
        <v>36</v>
      </c>
      <c r="E4" s="18" t="n">
        <v>1200</v>
      </c>
      <c r="F4" s="6" t="inlineStr">
        <is>
          <t>每款含 PC + 移动端双端 3:4 出图样式 + 月度文案 + 装饰图标</t>
        </is>
      </c>
      <c r="G4" s="17" t="inlineStr">
        <is>
          <t>款</t>
        </is>
      </c>
      <c r="H4" s="9">
        <f>D4*E4</f>
        <v/>
      </c>
    </row>
    <row r="5" ht="36" customHeight="1">
      <c r="A5" s="17" t="n">
        <v>3</v>
      </c>
      <c r="B5" s="6" t="inlineStr">
        <is>
          <t>SVG 图标系统</t>
        </is>
      </c>
      <c r="C5" s="6" t="inlineStr">
        <is>
          <t>12 个季节 / 主题线性图标（currentColor）</t>
        </is>
      </c>
      <c r="D5" s="17" t="n">
        <v>12</v>
      </c>
      <c r="E5" s="18" t="n">
        <v>600</v>
      </c>
      <c r="F5" s="6" t="inlineStr">
        <is>
          <t>可在 html2canvas / html-to-image 安全截图</t>
        </is>
      </c>
      <c r="G5" s="17" t="inlineStr">
        <is>
          <t>个</t>
        </is>
      </c>
      <c r="H5" s="9">
        <f>D5*E5</f>
        <v/>
      </c>
    </row>
    <row r="6" ht="36" customHeight="1">
      <c r="A6" s="17" t="n">
        <v>4</v>
      </c>
      <c r="B6" s="6" t="inlineStr">
        <is>
          <t>PWA 应用图标</t>
        </is>
      </c>
      <c r="C6" s="6" t="inlineStr">
        <is>
          <t>icon.svg + icon-maskable.svg + 启动画面</t>
        </is>
      </c>
      <c r="D6" s="17" t="n">
        <v>1</v>
      </c>
      <c r="E6" s="18" t="n">
        <v>3000</v>
      </c>
      <c r="F6" s="6" t="inlineStr">
        <is>
          <t>支持添加到主屏幕 / 桌面图标</t>
        </is>
      </c>
      <c r="G6" s="17" t="inlineStr">
        <is>
          <t>套</t>
        </is>
      </c>
      <c r="H6" s="9">
        <f>D6*E6</f>
        <v/>
      </c>
    </row>
    <row r="7" ht="36" customHeight="1">
      <c r="A7" s="17" t="n">
        <v>5</v>
      </c>
      <c r="B7" s="6" t="inlineStr">
        <is>
          <t>品牌首页 / 任务弹窗视觉</t>
        </is>
      </c>
      <c r="C7" s="6" t="inlineStr">
        <is>
          <t>首页主视觉 12 套 + 任务弹窗 12 套视觉稿</t>
        </is>
      </c>
      <c r="D7" s="17" t="n">
        <v>24</v>
      </c>
      <c r="E7" s="18" t="n">
        <v>800</v>
      </c>
      <c r="F7" s="6" t="inlineStr">
        <is>
          <t>PC + 移动端双端布局，含文案层级、按钮态、动效指引</t>
        </is>
      </c>
      <c r="G7" s="17" t="inlineStr">
        <is>
          <t>套</t>
        </is>
      </c>
      <c r="H7" s="9">
        <f>D7*E7</f>
        <v/>
      </c>
    </row>
    <row r="8" ht="24" customHeight="1">
      <c r="A8" s="19" t="n"/>
      <c r="B8" s="20" t="inlineStr">
        <is>
          <t>A 小计（一次性设计费）</t>
        </is>
      </c>
      <c r="C8" s="7" t="n"/>
      <c r="D8" s="7" t="n"/>
      <c r="E8" s="7" t="n"/>
      <c r="F8" s="7" t="n"/>
      <c r="G8" s="7" t="n"/>
      <c r="H8" s="21">
        <f>SUM(H3:H7)</f>
        <v/>
      </c>
    </row>
    <row r="10" ht="22" customHeight="1">
      <c r="A10" s="16" t="inlineStr">
        <is>
          <t>B. 一次性开发费（Development）</t>
        </is>
      </c>
      <c r="B10" s="7" t="n"/>
      <c r="C10" s="7" t="n"/>
      <c r="D10" s="7" t="n"/>
      <c r="E10" s="7" t="n"/>
      <c r="F10" s="7" t="n"/>
      <c r="G10" s="7" t="n"/>
      <c r="H10" s="7" t="n"/>
    </row>
    <row r="11" ht="36" customHeight="1">
      <c r="A11" s="17" t="n">
        <v>1</v>
      </c>
      <c r="B11" s="6" t="inlineStr">
        <is>
          <t>H5 主框架开发</t>
        </is>
      </c>
      <c r="C11" s="6" t="inlineStr">
        <is>
          <t>Vite + React + PC/移动端响应式适配 + Vercel 全球托管</t>
        </is>
      </c>
      <c r="D11" s="17" t="n">
        <v>1</v>
      </c>
      <c r="E11" s="18" t="n">
        <v>25000</v>
      </c>
      <c r="F11" s="6" t="inlineStr">
        <is>
          <t>PC 桌面（≥1024px）+ 移动端（≤768px）双端自适应，PWA Manifest、Service Worker、Lighthouse 95+</t>
        </is>
      </c>
      <c r="G11" s="17" t="inlineStr">
        <is>
          <t>套</t>
        </is>
      </c>
      <c r="H11" s="9">
        <f>D11*E11</f>
        <v/>
      </c>
    </row>
    <row r="12" ht="36" customHeight="1">
      <c r="A12" s="17" t="n">
        <v>2</v>
      </c>
      <c r="B12" s="6" t="inlineStr">
        <is>
          <t>四大流程页面</t>
        </is>
      </c>
      <c r="C12" s="6" t="inlineStr">
        <is>
          <t>品牌首页 / 月度任务弹窗 / 模板创作 / 一键分享</t>
        </is>
      </c>
      <c r="D12" s="17" t="n">
        <v>4</v>
      </c>
      <c r="E12" s="18" t="n">
        <v>4500</v>
      </c>
      <c r="F12" s="6" t="inlineStr">
        <is>
          <t>PC + 移动端双端适配，含路由、状态管理、断点响应式</t>
        </is>
      </c>
      <c r="G12" s="17" t="inlineStr">
        <is>
          <t>页</t>
        </is>
      </c>
      <c r="H12" s="9">
        <f>D12*E12</f>
        <v/>
      </c>
    </row>
    <row r="13" ht="36" customHeight="1">
      <c r="A13" s="17" t="n">
        <v>3</v>
      </c>
      <c r="B13" s="6" t="inlineStr">
        <is>
          <t>图片生成与系统分享</t>
        </is>
      </c>
      <c r="C13" s="6" t="inlineStr">
        <is>
          <t>html-to-image 截图 + Web Share API（带文件）+ FB/IG 面板调起</t>
        </is>
      </c>
      <c r="D13" s="17" t="n">
        <v>1</v>
      </c>
      <c r="E13" s="18" t="n">
        <v>12000</v>
      </c>
      <c r="F13" s="6" t="inlineStr">
        <is>
          <t>支持 Facebook / Instagram App 一键带图分享</t>
        </is>
      </c>
      <c r="G13" s="17" t="inlineStr">
        <is>
          <t>套</t>
        </is>
      </c>
      <c r="H13" s="9">
        <f>D13*E13</f>
        <v/>
      </c>
    </row>
    <row r="14" ht="36" customHeight="1">
      <c r="A14" s="17" t="n">
        <v>4</v>
      </c>
      <c r="B14" s="6" t="inlineStr">
        <is>
          <t>月度主题引擎</t>
        </is>
      </c>
      <c r="C14" s="6" t="inlineStr">
        <is>
          <t>12 个月主题切换 + 全年主题画廊 + 每月差异化文案注入</t>
        </is>
      </c>
      <c r="D14" s="17" t="n">
        <v>1</v>
      </c>
      <c r="E14" s="18" t="n">
        <v>8000</v>
      </c>
      <c r="F14" s="6" t="inlineStr">
        <is>
          <t>数据驱动：themes.js 一处维护全局生效</t>
        </is>
      </c>
      <c r="G14" s="17" t="inlineStr">
        <is>
          <t>套</t>
        </is>
      </c>
      <c r="H14" s="9">
        <f>D14*E14</f>
        <v/>
      </c>
    </row>
    <row r="15" ht="36" customHeight="1">
      <c r="A15" s="17" t="n">
        <v>5</v>
      </c>
      <c r="B15" s="6" t="inlineStr">
        <is>
          <t>PWA / 缓存 / 离线</t>
        </is>
      </c>
      <c r="C15" s="6" t="inlineStr">
        <is>
          <t>离线访问、添加到主屏、桌面图标、安装提示</t>
        </is>
      </c>
      <c r="D15" s="17" t="n">
        <v>1</v>
      </c>
      <c r="E15" s="18" t="n">
        <v>5000</v>
      </c>
      <c r="F15" s="6" t="inlineStr">
        <is>
          <t>提升海外用户访问体验</t>
        </is>
      </c>
      <c r="G15" s="17" t="inlineStr">
        <is>
          <t>套</t>
        </is>
      </c>
      <c r="H15" s="9">
        <f>D15*E15</f>
        <v/>
      </c>
    </row>
    <row r="16" ht="24" customHeight="1">
      <c r="A16" s="19" t="n"/>
      <c r="B16" s="20" t="inlineStr">
        <is>
          <t>B 小计（一次性开发费）</t>
        </is>
      </c>
      <c r="C16" s="7" t="n"/>
      <c r="D16" s="7" t="n"/>
      <c r="E16" s="7" t="n"/>
      <c r="F16" s="7" t="n"/>
      <c r="G16" s="7" t="n"/>
      <c r="H16" s="21">
        <f>SUM(H11:H15)</f>
        <v/>
      </c>
    </row>
    <row r="18" ht="22" customHeight="1">
      <c r="A18" s="16" t="inlineStr">
        <is>
          <t>C. 项目管理与客户确认（PM &amp; UAT）</t>
        </is>
      </c>
      <c r="B18" s="7" t="n"/>
      <c r="C18" s="7" t="n"/>
      <c r="D18" s="7" t="n"/>
      <c r="E18" s="7" t="n"/>
      <c r="F18" s="7" t="n"/>
      <c r="G18" s="7" t="n"/>
      <c r="H18" s="7" t="n"/>
    </row>
    <row r="19" ht="36" customHeight="1">
      <c r="A19" s="17" t="n">
        <v>1</v>
      </c>
      <c r="B19" s="6" t="inlineStr">
        <is>
          <t>需求梳理 / 方案设计</t>
        </is>
      </c>
      <c r="C19" s="6" t="inlineStr">
        <is>
          <t>业务调研、用户旅程、信息架构、流程图</t>
        </is>
      </c>
      <c r="D19" s="17" t="n">
        <v>1</v>
      </c>
      <c r="E19" s="18" t="n">
        <v>6000</v>
      </c>
      <c r="F19" s="6" t="inlineStr">
        <is>
          <t>输出 PRD / 原型 / 验收标准</t>
        </is>
      </c>
      <c r="G19" s="17" t="inlineStr">
        <is>
          <t>套</t>
        </is>
      </c>
      <c r="H19" s="9">
        <f>D19*E19</f>
        <v/>
      </c>
    </row>
    <row r="20" ht="36" customHeight="1">
      <c r="A20" s="17" t="n">
        <v>2</v>
      </c>
      <c r="B20" s="6" t="inlineStr">
        <is>
          <t>客户确认 / 版本评审</t>
        </is>
      </c>
      <c r="C20" s="6" t="inlineStr">
        <is>
          <t>三轮视觉 + 功能评审会（含会议纪要、修订意见落地）</t>
        </is>
      </c>
      <c r="D20" s="17" t="n">
        <v>3</v>
      </c>
      <c r="E20" s="18" t="n">
        <v>3000</v>
      </c>
      <c r="F20" s="6" t="inlineStr">
        <is>
          <t>保障上线即验收通过</t>
        </is>
      </c>
      <c r="G20" s="17" t="inlineStr">
        <is>
          <t>轮</t>
        </is>
      </c>
      <c r="H20" s="9">
        <f>D20*E20</f>
        <v/>
      </c>
    </row>
    <row r="21" ht="36" customHeight="1">
      <c r="A21" s="17" t="n">
        <v>3</v>
      </c>
      <c r="B21" s="6" t="inlineStr">
        <is>
          <t>UAT 验收与上线</t>
        </is>
      </c>
      <c r="C21" s="6" t="inlineStr">
        <is>
          <t>测试用例、回归测试、生产部署、域名备案支持</t>
        </is>
      </c>
      <c r="D21" s="17" t="n">
        <v>1</v>
      </c>
      <c r="E21" s="18" t="n">
        <v>6000</v>
      </c>
      <c r="F21" s="6" t="inlineStr">
        <is>
          <t>覆盖 12 个月度主题上线</t>
        </is>
      </c>
      <c r="G21" s="17" t="inlineStr">
        <is>
          <t>次</t>
        </is>
      </c>
      <c r="H21" s="9">
        <f>D21*E21</f>
        <v/>
      </c>
    </row>
    <row r="22" ht="24" customHeight="1">
      <c r="A22" s="19" t="n"/>
      <c r="B22" s="20" t="inlineStr">
        <is>
          <t>C 小计（项目管理 / 客户确认）</t>
        </is>
      </c>
      <c r="C22" s="7" t="n"/>
      <c r="D22" s="7" t="n"/>
      <c r="E22" s="7" t="n"/>
      <c r="F22" s="7" t="n"/>
      <c r="G22" s="7" t="n"/>
      <c r="H22" s="21">
        <f>SUM(H19:H21)</f>
        <v/>
      </c>
    </row>
    <row r="24" ht="22" customHeight="1">
      <c r="A24" s="16" t="inlineStr">
        <is>
          <t>D. 月度维护费（按月续约 · 12 个月）</t>
        </is>
      </c>
      <c r="B24" s="7" t="n"/>
      <c r="C24" s="7" t="n"/>
      <c r="D24" s="7" t="n"/>
      <c r="E24" s="7" t="n"/>
      <c r="F24" s="7" t="n"/>
      <c r="G24" s="7" t="n"/>
      <c r="H24" s="7" t="n"/>
    </row>
    <row r="25" ht="36" customHeight="1">
      <c r="A25" s="17" t="n">
        <v>1</v>
      </c>
      <c r="B25" s="6" t="inlineStr">
        <is>
          <t>每月新模板设计</t>
        </is>
      </c>
      <c r="C25" s="6" t="inlineStr">
        <is>
          <t>1 套新相框版式（含 3:4 出图 + 文案 + 图标）</t>
        </is>
      </c>
      <c r="D25" s="17" t="n">
        <v>12</v>
      </c>
      <c r="E25" s="18" t="n">
        <v>5000</v>
      </c>
      <c r="F25" s="6" t="inlineStr">
        <is>
          <t>保持月度内容新鲜度</t>
        </is>
      </c>
      <c r="G25" s="17" t="inlineStr">
        <is>
          <t>月</t>
        </is>
      </c>
      <c r="H25" s="9">
        <f>D25*E25</f>
        <v/>
      </c>
    </row>
    <row r="26" ht="36" customHeight="1">
      <c r="A26" s="17" t="n">
        <v>2</v>
      </c>
      <c r="B26" s="6" t="inlineStr">
        <is>
          <t>主题内容更新</t>
        </is>
      </c>
      <c r="C26" s="6" t="inlineStr">
        <is>
          <t>月度标题、标语、话题标签、品牌色、文案</t>
        </is>
      </c>
      <c r="D26" s="17" t="n">
        <v>12</v>
      </c>
      <c r="E26" s="18" t="n">
        <v>3000</v>
      </c>
      <c r="F26" s="6" t="inlineStr">
        <is>
          <t>数据驱动更新 themes.js 一处生效</t>
        </is>
      </c>
      <c r="G26" s="17" t="inlineStr">
        <is>
          <t>月</t>
        </is>
      </c>
      <c r="H26" s="9">
        <f>D26*E26</f>
        <v/>
      </c>
    </row>
    <row r="27" ht="36" customHeight="1">
      <c r="A27" s="17" t="n">
        <v>3</v>
      </c>
      <c r="B27" s="6" t="inlineStr">
        <is>
          <t>上线部署 / 回归</t>
        </is>
      </c>
      <c r="C27" s="6" t="inlineStr">
        <is>
          <t>新模板上线 + 回归测试 + 旧模板兼容性检查</t>
        </is>
      </c>
      <c r="D27" s="17" t="n">
        <v>12</v>
      </c>
      <c r="E27" s="18" t="n">
        <v>2000</v>
      </c>
      <c r="F27" s="6" t="inlineStr">
        <is>
          <t>确保零中断发布</t>
        </is>
      </c>
      <c r="G27" s="17" t="inlineStr">
        <is>
          <t>月</t>
        </is>
      </c>
      <c r="H27" s="9">
        <f>D27*E27</f>
        <v/>
      </c>
    </row>
    <row r="28" ht="24" customHeight="1">
      <c r="A28" s="19" t="n"/>
      <c r="B28" s="20" t="inlineStr">
        <is>
          <t>D 小计（月度维护 × 12 月）</t>
        </is>
      </c>
      <c r="C28" s="7" t="n"/>
      <c r="D28" s="7" t="n"/>
      <c r="E28" s="7" t="n"/>
      <c r="F28" s="7" t="n"/>
      <c r="G28" s="7" t="n"/>
      <c r="H28" s="21">
        <f>SUM(H25:H27)</f>
        <v/>
      </c>
    </row>
    <row r="30" ht="22" customHeight="1">
      <c r="A30" s="16" t="inlineStr">
        <is>
          <t>E. 托管 / 空间 / 域名（年度）</t>
        </is>
      </c>
      <c r="B30" s="7" t="n"/>
      <c r="C30" s="7" t="n"/>
      <c r="D30" s="7" t="n"/>
      <c r="E30" s="7" t="n"/>
      <c r="F30" s="7" t="n"/>
      <c r="G30" s="7" t="n"/>
      <c r="H30" s="7" t="n"/>
    </row>
    <row r="31" ht="36" customHeight="1">
      <c r="A31" s="17" t="n">
        <v>1</v>
      </c>
      <c r="B31" s="6" t="inlineStr">
        <is>
          <t>Vercel Pro 托管</t>
        </is>
      </c>
      <c r="C31" s="6" t="inlineStr">
        <is>
          <t>全球 CDN · 自动 HTTPS · 预览部署 · 99.99% SLA</t>
        </is>
      </c>
      <c r="D31" s="17" t="n">
        <v>1</v>
      </c>
      <c r="E31" s="18" t="n">
        <v>2400</v>
      </c>
      <c r="F31" s="6" t="inlineStr">
        <is>
          <t>覆盖海外多区域访问</t>
        </is>
      </c>
      <c r="G31" s="17" t="inlineStr">
        <is>
          <t>年</t>
        </is>
      </c>
      <c r="H31" s="9">
        <f>D31*E31</f>
        <v/>
      </c>
    </row>
    <row r="32" ht="36" customHeight="1">
      <c r="A32" s="17" t="n">
        <v>2</v>
      </c>
      <c r="B32" s="6" t="inlineStr">
        <is>
          <t>域名注册 / 维护</t>
        </is>
      </c>
      <c r="C32" s="6" t="inlineStr">
        <is>
          <t>.com / .life / .moto 等海外品牌域名</t>
        </is>
      </c>
      <c r="D32" s="17" t="n">
        <v>1</v>
      </c>
      <c r="E32" s="18" t="n">
        <v>500</v>
      </c>
      <c r="F32" s="6" t="inlineStr">
        <is>
          <t>首年注册 + WHOIS 隐私保护</t>
        </is>
      </c>
      <c r="G32" s="17" t="inlineStr">
        <is>
          <t>年</t>
        </is>
      </c>
      <c r="H32" s="9">
        <f>D32*E32</f>
        <v/>
      </c>
    </row>
    <row r="33" ht="36" customHeight="1">
      <c r="A33" s="17" t="n">
        <v>3</v>
      </c>
      <c r="B33" s="6" t="inlineStr">
        <is>
          <t>SSL / DNS 配置</t>
        </is>
      </c>
      <c r="C33" s="6" t="inlineStr">
        <is>
          <t>证书托管 + DNS 解析优化</t>
        </is>
      </c>
      <c r="D33" s="17" t="n">
        <v>1</v>
      </c>
      <c r="E33" s="18" t="n">
        <v>0</v>
      </c>
      <c r="F33" s="6" t="inlineStr">
        <is>
          <t>Vercel 自动签发，含在托管费内</t>
        </is>
      </c>
      <c r="G33" s="17" t="inlineStr">
        <is>
          <t>年</t>
        </is>
      </c>
      <c r="H33" s="9">
        <f>D33*E33</f>
        <v/>
      </c>
    </row>
    <row r="34" ht="24" customHeight="1">
      <c r="A34" s="19" t="n"/>
      <c r="B34" s="20" t="inlineStr">
        <is>
          <t>E 小计（托管 / 空间 / 域名）</t>
        </is>
      </c>
      <c r="C34" s="7" t="n"/>
      <c r="D34" s="7" t="n"/>
      <c r="E34" s="7" t="n"/>
      <c r="F34" s="7" t="n"/>
      <c r="G34" s="7" t="n"/>
      <c r="H34" s="21">
        <f>SUM(H31:H33)</f>
        <v/>
      </c>
    </row>
    <row r="36" ht="22" customHeight="1">
      <c r="A36" s="16" t="inlineStr">
        <is>
          <t>F. 运营服务费（年度）</t>
        </is>
      </c>
      <c r="B36" s="7" t="n"/>
      <c r="C36" s="7" t="n"/>
      <c r="D36" s="7" t="n"/>
      <c r="E36" s="7" t="n"/>
      <c r="F36" s="7" t="n"/>
      <c r="G36" s="7" t="n"/>
      <c r="H36" s="7" t="n"/>
    </row>
    <row r="37" ht="36" customHeight="1">
      <c r="A37" s="17" t="n">
        <v>1</v>
      </c>
      <c r="B37" s="6" t="inlineStr">
        <is>
          <t>内容运营支持</t>
        </is>
      </c>
      <c r="C37" s="6" t="inlineStr">
        <is>
          <t>话题策划、文案润色、多语言适配（含英 / 西 / 阿）</t>
        </is>
      </c>
      <c r="D37" s="17" t="n">
        <v>12</v>
      </c>
      <c r="E37" s="18" t="n">
        <v>1500</v>
      </c>
      <c r="F37" s="6" t="inlineStr">
        <is>
          <t>覆盖海外三大主要市场</t>
        </is>
      </c>
      <c r="G37" s="17" t="inlineStr">
        <is>
          <t>月</t>
        </is>
      </c>
      <c r="H37" s="9">
        <f>D37*E37</f>
        <v/>
      </c>
    </row>
    <row r="38" ht="36" customHeight="1">
      <c r="A38" s="17" t="n">
        <v>2</v>
      </c>
      <c r="B38" s="6" t="inlineStr">
        <is>
          <t>数据监控 / 月报</t>
        </is>
      </c>
      <c r="C38" s="6" t="inlineStr">
        <is>
          <t>UV / 分享率 / 月度活跃 / 转化漏斗 + 报告</t>
        </is>
      </c>
      <c r="D38" s="17" t="n">
        <v>12</v>
      </c>
      <c r="E38" s="18" t="n">
        <v>1500</v>
      </c>
      <c r="F38" s="6" t="inlineStr">
        <is>
          <t>每月 1 份数据报告 + 优化建议</t>
        </is>
      </c>
      <c r="G38" s="17" t="inlineStr">
        <is>
          <t>月</t>
        </is>
      </c>
      <c r="H38" s="9">
        <f>D38*E38</f>
        <v/>
      </c>
    </row>
    <row r="39" ht="36" customHeight="1">
      <c r="A39" s="17" t="n">
        <v>3</v>
      </c>
      <c r="B39" s="6" t="inlineStr">
        <is>
          <t>客户活动支持</t>
        </is>
      </c>
      <c r="C39" s="6" t="inlineStr">
        <is>
          <t>节日 / 营销节点 / 联合活动素材快速响应</t>
        </is>
      </c>
      <c r="D39" s="17" t="n">
        <v>4</v>
      </c>
      <c r="E39" s="18" t="n">
        <v>3000</v>
      </c>
      <c r="F39" s="6" t="inlineStr">
        <is>
          <t>每季度 1 次专项活动</t>
        </is>
      </c>
      <c r="G39" s="17" t="inlineStr">
        <is>
          <t>次</t>
        </is>
      </c>
      <c r="H39" s="9">
        <f>D39*E39</f>
        <v/>
      </c>
    </row>
    <row r="40" ht="24" customHeight="1">
      <c r="A40" s="19" t="n"/>
      <c r="B40" s="20" t="inlineStr">
        <is>
          <t>F 小计（运营服务）</t>
        </is>
      </c>
      <c r="C40" s="7" t="n"/>
      <c r="D40" s="7" t="n"/>
      <c r="E40" s="7" t="n"/>
      <c r="F40" s="7" t="n"/>
      <c r="G40" s="7" t="n"/>
      <c r="H40" s="21">
        <f>SUM(H37:H39)</f>
        <v/>
      </c>
    </row>
    <row r="42" ht="30" customHeight="1">
      <c r="A42" s="22" t="inlineStr">
        <is>
          <t>项目总计（含税前 · 不含增值税）</t>
        </is>
      </c>
      <c r="B42" s="23" t="n"/>
      <c r="C42" s="23" t="n"/>
      <c r="D42" s="23" t="n"/>
      <c r="E42" s="23" t="n"/>
      <c r="F42" s="23" t="n"/>
      <c r="G42" s="23" t="n"/>
      <c r="H42" s="24">
        <f>H6+H11+H15+H19+H22+H25</f>
        <v/>
      </c>
    </row>
  </sheetData>
  <mergeCells count="13">
    <mergeCell ref="A18:H18"/>
    <mergeCell ref="B16:G16"/>
    <mergeCell ref="B34:G34"/>
    <mergeCell ref="A30:H30"/>
    <mergeCell ref="B28:G28"/>
    <mergeCell ref="B22:G22"/>
    <mergeCell ref="A24:H24"/>
    <mergeCell ref="A2:H2"/>
    <mergeCell ref="A10:H10"/>
    <mergeCell ref="B8:G8"/>
    <mergeCell ref="A36:H36"/>
    <mergeCell ref="B40:G40"/>
    <mergeCell ref="A42:G42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2" customWidth="1" min="4" max="4"/>
    <col width="18" customWidth="1" min="5" max="5"/>
    <col width="26" customWidth="1" min="6" max="6"/>
  </cols>
  <sheetData>
    <row r="1" ht="30" customHeight="1">
      <c r="A1" s="15" t="inlineStr">
        <is>
          <t>月份</t>
        </is>
      </c>
      <c r="B1" s="15" t="inlineStr">
        <is>
          <t>主题</t>
        </is>
      </c>
      <c r="C1" s="15" t="inlineStr">
        <is>
          <t>核心话题 / Hashtag</t>
        </is>
      </c>
      <c r="D1" s="15" t="inlineStr">
        <is>
          <t>相框模板版本</t>
        </is>
      </c>
      <c r="E1" s="15" t="inlineStr">
        <is>
          <t>上线日期</t>
        </is>
      </c>
      <c r="F1" s="15" t="inlineStr">
        <is>
          <t>维护项</t>
        </is>
      </c>
    </row>
    <row r="2" ht="28" customHeight="1">
      <c r="A2" s="17" t="n">
        <v>9</v>
      </c>
      <c r="B2" s="25" t="inlineStr">
        <is>
          <t>Share Your Destination</t>
        </is>
      </c>
      <c r="C2" s="6" t="inlineStr">
        <is>
          <t>#KaiyiLifeInMotion · #ShareYourDestination</t>
        </is>
      </c>
      <c r="D2" s="6" t="inlineStr">
        <is>
          <t>v1.0（首发 3 款）</t>
        </is>
      </c>
      <c r="E2" s="17" t="inlineStr">
        <is>
          <t>2026-09-15</t>
        </is>
      </c>
      <c r="F2" s="6" t="inlineStr">
        <is>
          <t>首发上线 + 客户验收</t>
        </is>
      </c>
    </row>
    <row r="3" ht="28" customHeight="1">
      <c r="A3" s="17" t="n">
        <v>10</v>
      </c>
      <c r="B3" s="25" t="inlineStr">
        <is>
          <t>Autumn Colors</t>
        </is>
      </c>
      <c r="C3" s="6" t="inlineStr">
        <is>
          <t>#AutumnColors · #KaiyiLifeInMotion</t>
        </is>
      </c>
      <c r="D3" s="6" t="inlineStr">
        <is>
          <t>v1.1（新增 1 款）</t>
        </is>
      </c>
      <c r="E3" s="17" t="inlineStr">
        <is>
          <t>2026-10-15</t>
        </is>
      </c>
      <c r="F3" s="6" t="inlineStr">
        <is>
          <t>月度新模板 + 主题更新</t>
        </is>
      </c>
    </row>
    <row r="4" ht="28" customHeight="1">
      <c r="A4" s="17" t="n">
        <v>11</v>
      </c>
      <c r="B4" s="25" t="inlineStr">
        <is>
          <t>Misty Lake</t>
        </is>
      </c>
      <c r="C4" s="6" t="inlineStr">
        <is>
          <t>#MistyLake · #KaiyiLifeInMotion</t>
        </is>
      </c>
      <c r="D4" s="6" t="inlineStr">
        <is>
          <t>v1.2</t>
        </is>
      </c>
      <c r="E4" s="17" t="inlineStr">
        <is>
          <t>2026-11-15</t>
        </is>
      </c>
      <c r="F4" s="6" t="inlineStr">
        <is>
          <t>月度新模板 + 主题更新</t>
        </is>
      </c>
    </row>
    <row r="5" ht="28" customHeight="1">
      <c r="A5" s="17" t="n">
        <v>12</v>
      </c>
      <c r="B5" s="25" t="inlineStr">
        <is>
          <t>Winter Wonderland</t>
        </is>
      </c>
      <c r="C5" s="6" t="inlineStr">
        <is>
          <t>#WinterWonderland</t>
        </is>
      </c>
      <c r="D5" s="6" t="inlineStr">
        <is>
          <t>v1.3</t>
        </is>
      </c>
      <c r="E5" s="17" t="inlineStr">
        <is>
          <t>2026-12-15</t>
        </is>
      </c>
      <c r="F5" s="6" t="inlineStr">
        <is>
          <t>节日活动支持</t>
        </is>
      </c>
    </row>
    <row r="6" ht="28" customHeight="1">
      <c r="A6" s="17" t="n">
        <v>1</v>
      </c>
      <c r="B6" s="25" t="inlineStr">
        <is>
          <t>New Year Drive</t>
        </is>
      </c>
      <c r="C6" s="6" t="inlineStr">
        <is>
          <t>#NewYearDrive</t>
        </is>
      </c>
      <c r="D6" s="6" t="inlineStr">
        <is>
          <t>v1.4</t>
        </is>
      </c>
      <c r="E6" s="17" t="inlineStr">
        <is>
          <t>2027-01-15</t>
        </is>
      </c>
      <c r="F6" s="6" t="inlineStr">
        <is>
          <t>新年活动专题</t>
        </is>
      </c>
    </row>
    <row r="7" ht="28" customHeight="1">
      <c r="A7" s="17" t="n">
        <v>2</v>
      </c>
      <c r="B7" s="25" t="inlineStr">
        <is>
          <t>Valentine Ride</t>
        </is>
      </c>
      <c r="C7" s="6" t="inlineStr">
        <is>
          <t>#ValentineRide</t>
        </is>
      </c>
      <c r="D7" s="6" t="inlineStr">
        <is>
          <t>v1.5</t>
        </is>
      </c>
      <c r="E7" s="17" t="inlineStr">
        <is>
          <t>2027-02-14</t>
        </is>
      </c>
      <c r="F7" s="6" t="inlineStr">
        <is>
          <t>情人节专题</t>
        </is>
      </c>
    </row>
    <row r="8" ht="28" customHeight="1">
      <c r="A8" s="17" t="n">
        <v>3</v>
      </c>
      <c r="B8" s="25" t="inlineStr">
        <is>
          <t>Spring Bloom</t>
        </is>
      </c>
      <c r="C8" s="6" t="inlineStr">
        <is>
          <t>#SpringBloom</t>
        </is>
      </c>
      <c r="D8" s="6" t="inlineStr">
        <is>
          <t>v1.6</t>
        </is>
      </c>
      <c r="E8" s="17" t="inlineStr">
        <is>
          <t>2027-03-15</t>
        </is>
      </c>
      <c r="F8" s="6" t="inlineStr">
        <is>
          <t>春日主题</t>
        </is>
      </c>
    </row>
    <row r="9" ht="28" customHeight="1">
      <c r="A9" s="17" t="n">
        <v>4</v>
      </c>
      <c r="B9" s="25" t="inlineStr">
        <is>
          <t>Cherry Road</t>
        </is>
      </c>
      <c r="C9" s="6" t="inlineStr">
        <is>
          <t>#CherryRoad</t>
        </is>
      </c>
      <c r="D9" s="6" t="inlineStr">
        <is>
          <t>v1.7</t>
        </is>
      </c>
      <c r="E9" s="17" t="inlineStr">
        <is>
          <t>2027-04-15</t>
        </is>
      </c>
      <c r="F9" s="6" t="inlineStr">
        <is>
          <t>樱花季专题</t>
        </is>
      </c>
    </row>
    <row r="10" ht="28" customHeight="1">
      <c r="A10" s="17" t="n">
        <v>5</v>
      </c>
      <c r="B10" s="25" t="inlineStr">
        <is>
          <t>Coastal Drift</t>
        </is>
      </c>
      <c r="C10" s="6" t="inlineStr">
        <is>
          <t>#CoastalDrift</t>
        </is>
      </c>
      <c r="D10" s="6" t="inlineStr">
        <is>
          <t>v1.8</t>
        </is>
      </c>
      <c r="E10" s="17" t="inlineStr">
        <is>
          <t>2027-05-15</t>
        </is>
      </c>
      <c r="F10" s="6" t="inlineStr">
        <is>
          <t>海岸线主题</t>
        </is>
      </c>
    </row>
    <row r="11" ht="28" customHeight="1">
      <c r="A11" s="17" t="n">
        <v>6</v>
      </c>
      <c r="B11" s="25" t="inlineStr">
        <is>
          <t>Desert Light</t>
        </is>
      </c>
      <c r="C11" s="6" t="inlineStr">
        <is>
          <t>#DesertLight</t>
        </is>
      </c>
      <c r="D11" s="6" t="inlineStr">
        <is>
          <t>v1.9</t>
        </is>
      </c>
      <c r="E11" s="17" t="inlineStr">
        <is>
          <t>2027-06-15</t>
        </is>
      </c>
      <c r="F11" s="6" t="inlineStr">
        <is>
          <t>沙漠光线主题</t>
        </is>
      </c>
    </row>
    <row r="12" ht="28" customHeight="1">
      <c r="A12" s="17" t="n">
        <v>7</v>
      </c>
      <c r="B12" s="25" t="inlineStr">
        <is>
          <t>Highland Pass</t>
        </is>
      </c>
      <c r="C12" s="6" t="inlineStr">
        <is>
          <t>#HighlandPass</t>
        </is>
      </c>
      <c r="D12" s="6" t="inlineStr">
        <is>
          <t>v2.0</t>
        </is>
      </c>
      <c r="E12" s="17" t="inlineStr">
        <is>
          <t>2027-07-15</t>
        </is>
      </c>
      <c r="F12" s="6" t="inlineStr">
        <is>
          <t>高地穿越 + 半年度回顾</t>
        </is>
      </c>
    </row>
    <row r="13" ht="28" customHeight="1">
      <c r="A13" s="17" t="n">
        <v>8</v>
      </c>
      <c r="B13" s="25" t="inlineStr">
        <is>
          <t>Sunset Mile</t>
        </is>
      </c>
      <c r="C13" s="6" t="inlineStr">
        <is>
          <t>#SunsetMile</t>
        </is>
      </c>
      <c r="D13" s="6" t="inlineStr">
        <is>
          <t>v2.1</t>
        </is>
      </c>
      <c r="E13" s="17" t="inlineStr">
        <is>
          <t>2027-08-15</t>
        </is>
      </c>
      <c r="F13" s="6" t="inlineStr">
        <is>
          <t>年度收官 + 数据复盘</t>
        </is>
      </c>
    </row>
    <row r="15" ht="24" customHeight="1">
      <c r="A15" s="20" t="inlineStr">
        <is>
          <t>12 个月维护 + 运营 · 小计</t>
        </is>
      </c>
      <c r="B15" s="7" t="n"/>
      <c r="C15" s="7" t="n"/>
      <c r="D15" s="7" t="n"/>
      <c r="E15" s="7" t="n"/>
      <c r="F15" s="21">
        <f>报价明细!H19+报价明细!H25</f>
        <v/>
      </c>
    </row>
  </sheetData>
  <mergeCells count="1">
    <mergeCell ref="A15:E15"/>
  </mergeCells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</cols>
  <sheetData>
    <row r="1" ht="36" customHeight="1">
      <c r="A1" s="2" t="inlineStr">
        <is>
          <t>服 务 条 款 与 付 款 说 明</t>
        </is>
      </c>
    </row>
    <row r="2" ht="32" customHeight="1">
      <c r="A2" s="7" t="n"/>
      <c r="B2" s="26" t="inlineStr">
        <is>
          <t>条款类别</t>
        </is>
      </c>
      <c r="C2" s="26" t="inlineStr">
        <is>
          <t>具体内容</t>
        </is>
      </c>
    </row>
    <row r="3" ht="32" customHeight="1">
      <c r="A3" s="7" t="n"/>
      <c r="B3" s="5" t="inlineStr">
        <is>
          <t>项目周期</t>
        </is>
      </c>
      <c r="C3" s="6" t="inlineStr">
        <is>
          <t>本项目合同周期为 12 个月，自双方签署之日起生效，到期前 30 日协商续约。</t>
        </is>
      </c>
    </row>
    <row r="4" ht="32" customHeight="1">
      <c r="A4" s="7" t="n"/>
      <c r="B4" s="5" t="inlineStr">
        <is>
          <t>交付物清单</t>
        </is>
      </c>
      <c r="C4" s="6" t="inlineStr">
        <is>
          <t>（1）H5 主程序（含源码，PC + 移动端双端响应式）；（2）12 套主题视觉稿；（3）36 款相框模板；（4）月度维护 12 次；（5）Vercel 全球托管 + 域名；（6）月度数据报告 × 12。</t>
        </is>
      </c>
    </row>
    <row r="5" ht="32" customHeight="1">
      <c r="A5" s="7" t="n"/>
      <c r="B5" s="5" t="inlineStr">
        <is>
          <t>一次性付款</t>
        </is>
      </c>
      <c r="C5" s="6" t="inlineStr">
        <is>
          <t>A + B + C 项合计一次性付款 50%，项目启动 5 个工作日内支付；上线验收后 30 日内支付 50% 尾款。</t>
        </is>
      </c>
    </row>
    <row r="6" ht="32" customHeight="1">
      <c r="A6" s="7" t="n"/>
      <c r="B6" s="5" t="inlineStr">
        <is>
          <t>月度付款</t>
        </is>
      </c>
      <c r="C6" s="6" t="inlineStr">
        <is>
          <t>D + F 项按月支付，每月 5 日前开具上月发票并收款；E 项年度费用首次部署时一次性支付。</t>
        </is>
      </c>
    </row>
    <row r="7" ht="32" customHeight="1">
      <c r="A7" s="7" t="n"/>
      <c r="B7" s="5" t="inlineStr">
        <is>
          <t>知识产权</t>
        </is>
      </c>
      <c r="C7" s="6" t="inlineStr">
        <is>
          <t>项目交付物的著作权归乙方所有；甲方拥有本项目专属永久使用权；乙方可在作品集中展示。</t>
        </is>
      </c>
    </row>
    <row r="8" ht="32" customHeight="1">
      <c r="A8" s="7" t="n"/>
      <c r="B8" s="5" t="inlineStr">
        <is>
          <t>客户配合</t>
        </is>
      </c>
      <c r="C8" s="6" t="inlineStr">
        <is>
          <t>甲方应在 5 个工作日内反馈确认意见；超期未反馈视为默认通过确认。每自然月最多发起 2 次模板修订。</t>
        </is>
      </c>
    </row>
    <row r="9" ht="32" customHeight="1">
      <c r="A9" s="7" t="n"/>
      <c r="B9" s="5" t="inlineStr">
        <is>
          <t>维保范围</t>
        </is>
      </c>
      <c r="C9" s="6" t="inlineStr">
        <is>
          <t>免费维保期 12 个月，含 Bug 修复、依赖升级、安全补丁；新功能 / 新主题属月度维护范围。</t>
        </is>
      </c>
    </row>
    <row r="10" ht="32" customHeight="1">
      <c r="A10" s="7" t="n"/>
      <c r="B10" s="5" t="inlineStr">
        <is>
          <t>变更管理</t>
        </is>
      </c>
      <c r="C10" s="6" t="inlineStr">
        <is>
          <t>需求变更需双方书面确认；超出原范围的工作量按 1,500 元 / 人天单独计费。</t>
        </is>
      </c>
    </row>
    <row r="11" ht="32" customHeight="1">
      <c r="A11" s="7" t="n"/>
      <c r="B11" s="5" t="inlineStr">
        <is>
          <t>数据合规</t>
        </is>
      </c>
      <c r="C11" s="6" t="inlineStr">
        <is>
          <t>项目遵守 GDPR 与目标市场数据法规；用户上传图片仅本地处理，不上传服务器。</t>
        </is>
      </c>
    </row>
    <row r="12" ht="32" customHeight="1">
      <c r="A12" s="7" t="n"/>
      <c r="B12" s="5" t="inlineStr">
        <is>
          <t>终止条款</t>
        </is>
      </c>
      <c r="C12" s="6" t="inlineStr">
        <is>
          <t>任意一方可提前 30 日书面通知终止合同；已交付部分按比例结算，未交付部分退还未发生款项。</t>
        </is>
      </c>
    </row>
    <row r="13" ht="32" customHeight="1">
      <c r="A13" s="7" t="n"/>
      <c r="B13" s="5" t="inlineStr">
        <is>
          <t>争议解决</t>
        </is>
      </c>
      <c r="C13" s="6" t="inlineStr">
        <is>
          <t>本协议适用中华人民共和国法律；争议提交项目所在地人民法院诉讼解决。</t>
        </is>
      </c>
    </row>
    <row r="14" ht="32" customHeight="1">
      <c r="A14" s="7" t="n"/>
      <c r="B14" s="5" t="inlineStr">
        <is>
          <t>报价有效期</t>
        </is>
      </c>
      <c r="C14" s="6" t="inlineStr">
        <is>
          <t>自签发之日起 30 个自然日内有效。</t>
        </is>
      </c>
    </row>
  </sheetData>
  <mergeCells count="14">
    <mergeCell ref="C8"/>
    <mergeCell ref="C4"/>
    <mergeCell ref="A1:C1"/>
    <mergeCell ref="C3"/>
    <mergeCell ref="C12"/>
    <mergeCell ref="C7"/>
    <mergeCell ref="C13"/>
    <mergeCell ref="C11"/>
    <mergeCell ref="C6"/>
    <mergeCell ref="C10"/>
    <mergeCell ref="C2"/>
    <mergeCell ref="C14"/>
    <mergeCell ref="C5"/>
    <mergeCell ref="C9"/>
  </mergeCells>
  <printOptions horizontalCentered="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4" customWidth="1" min="4" max="4"/>
    <col width="20" customWidth="1" min="5" max="5"/>
    <col width="40" customWidth="1" min="6" max="6"/>
  </cols>
  <sheetData>
    <row r="1" ht="36" customHeight="1">
      <c r="A1" s="2" t="inlineStr">
        <is>
          <t>联  系  方  式</t>
        </is>
      </c>
    </row>
    <row r="3" ht="28" customHeight="1">
      <c r="B3" s="27" t="inlineStr">
        <is>
          <t>委托方（甲方）</t>
        </is>
      </c>
      <c r="E3" s="27" t="inlineStr">
        <is>
          <t>受托方（乙方）</t>
        </is>
      </c>
    </row>
    <row r="4" ht="24" customHeight="1">
      <c r="B4" s="5" t="inlineStr">
        <is>
          <t>客户单位</t>
        </is>
      </c>
      <c r="C4" s="8" t="inlineStr">
        <is>
          <t>KAIYI 开瑞汽车</t>
        </is>
      </c>
      <c r="E4" s="5" t="inlineStr">
        <is>
          <t>服务商</t>
        </is>
      </c>
      <c r="F4" s="8" t="inlineStr">
        <is>
          <t>彩讯科技股份有限公司</t>
        </is>
      </c>
    </row>
    <row r="5" ht="24" customHeight="1">
      <c r="B5" s="5" t="inlineStr">
        <is>
          <t>联系人</t>
        </is>
      </c>
      <c r="C5" s="8" t="inlineStr">
        <is>
          <t>海外事业部</t>
        </is>
      </c>
      <c r="E5" s="5" t="inlineStr">
        <is>
          <t>联系人</t>
        </is>
      </c>
      <c r="F5" s="8" t="inlineStr">
        <is>
          <t>项目商务部</t>
        </is>
      </c>
    </row>
    <row r="6" ht="24" customHeight="1">
      <c r="B6" s="5" t="inlineStr">
        <is>
          <t>邮箱</t>
        </is>
      </c>
      <c r="C6" s="8" t="inlineStr">
        <is>
          <t>marketing@KAIYI-global.com</t>
        </is>
      </c>
      <c r="E6" s="5" t="inlineStr">
        <is>
          <t>邮箱</t>
        </is>
      </c>
      <c r="F6" s="8" t="inlineStr">
        <is>
          <t>biz@caixun.com</t>
        </is>
      </c>
    </row>
    <row r="7" ht="24" customHeight="1">
      <c r="B7" s="5" t="inlineStr">
        <is>
          <t>电话</t>
        </is>
      </c>
      <c r="C7" s="8" t="inlineStr">
        <is>
          <t>+86 10-XXXX XXXX</t>
        </is>
      </c>
      <c r="E7" s="5" t="inlineStr">
        <is>
          <t>电话</t>
        </is>
      </c>
      <c r="F7" s="8" t="inlineStr">
        <is>
          <t>+86 10-XXXX XXXX</t>
        </is>
      </c>
    </row>
    <row r="8" ht="24" customHeight="1">
      <c r="B8" s="5" t="inlineStr">
        <is>
          <t>地址</t>
        </is>
      </c>
      <c r="C8" s="8" t="inlineStr">
        <is>
          <t>北京市朝阳区 XX 大厦</t>
        </is>
      </c>
      <c r="E8" s="5" t="inlineStr">
        <is>
          <t>地址</t>
        </is>
      </c>
      <c r="F8" s="8" t="inlineStr">
        <is>
          <t>深圳市南山区 XX 大厦</t>
        </is>
      </c>
    </row>
    <row r="10" ht="24" customHeight="1">
      <c r="B10" s="28" t="inlineStr">
        <is>
          <t>感谢您的信任，期待携手共创 KAIYI 海外品牌新篇章！</t>
        </is>
      </c>
    </row>
  </sheetData>
  <mergeCells count="4">
    <mergeCell ref="B3:C3"/>
    <mergeCell ref="B10:F10"/>
    <mergeCell ref="A1:F1"/>
    <mergeCell ref="E3:F3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2026-09-08T02:17:22Z</dcterms:created>
  <dcterms:modified xsi:type="dcterms:W3CDTF">2026-09-08T02:17:22Z</dcterms:modified>
</cp:coreProperties>
</file>